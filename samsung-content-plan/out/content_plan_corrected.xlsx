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1. Контент-план" sheetId="1" state="visible" r:id="rId1"/>
    <sheet name="2. Правила дедлайнов" sheetId="2" state="visible" r:id="rId2"/>
    <sheet name="3. Каналы и назначения" sheetId="3" state="visible" r:id="rId3"/>
    <sheet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2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right" vertical="center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AI Content Plan Agent</author>
  </authors>
  <commentList>
    <comment ref="R7" authorId="0" shapeId="0">
      <text>
        <t>[P1] C-03 · не успеть к старту: осталось 5 дн., нужно 10
[P1] C-03 · старт через 5 дн., креатив CR-011 не готов
[P2] На ближайшие 7 дней приходится 8 дедлайнов при пороге 6
[P2] C-03 · дедлайны посчитаны не по правилам типа «Маркетплейс»</t>
      </text>
    </comment>
    <comment ref="R8" authorId="0" shapeId="0">
      <text>
        <t>[P1] C-04 · не успеть к старту: осталось 12 дн., нужно 14
[P2] На ближайшие 7 дней приходится 8 дедлайнов при пороге 6
[P2] C-04 · дедлайны посчитаны не по правилам типа «Retail support»</t>
      </text>
    </comment>
    <comment ref="R9" authorId="0" shapeId="0">
      <text>
        <t>[P1] C-05 · не успеть к старту: осталось 12 дн., нужно 14
[P2] На ближайшие 7 дней приходится 8 дедлайнов при пороге 6
[P2] C-05 · дедлайны посчитаны не по правилам типа «Retail support»</t>
      </text>
    </comment>
    <comment ref="R10" authorId="0" shapeId="0">
      <text>
        <t>[P1] C-06 · не успеть к старту: осталось 12 дн., нужно 21
[P1] C-06 · дедлайны посчитаны не по правилам типа «Медийка»
[P2] На ближайшие 7 дней приходится 8 дедлайнов при пороге 6
[P2] RB53DG703EB1WT · медийка без перформанс-поддержки</t>
      </text>
    </comment>
    <comment ref="R11" authorId="0" shapeId="0">
      <text>
        <t>[P2] На ближайшие 7 дней приходится 8 дедлайнов при пороге 6</t>
      </text>
    </comment>
    <comment ref="R12" authorId="0" shapeId="0">
      <text>
        <t>[P2] C-08 · дедлайны посчитаны не по правилам типа «Маркетплейс»</t>
      </text>
    </comment>
    <comment ref="R13" authorId="0" shapeId="0">
      <text>
        <t>[P1] C-09 · не успеть к старту: осталось 19 дн., нужно 21
[P1] C-09 · дедлайны посчитаны не по правилам типа «Медийка»
[P2] Bespoke line · медийка без перформанс-поддержки</t>
      </text>
    </comment>
    <comment ref="R14" authorId="0" shapeId="0">
      <text>
        <t>[P2] C-10 · дедлайны посчитаны не по правилам типа «Always-on»
[P3] WW65AK4S21CELT · нет точки продаж (маркетплейс или дистрибьютор)</t>
      </text>
    </comment>
    <comment ref="R15" authorId="0" shapeId="0">
      <text>
        <t>[P2] C-11 · дедлайны посчитаны не по правилам типа «Retail support»</t>
      </text>
    </comment>
    <comment ref="R16" authorId="0" shapeId="0">
      <text>
        <t>[P2] C-12 · дедлайны посчитаны не по правилам типа «Always-on»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июль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W27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46209</v>
      </c>
      <c r="K5" s="30">
        <f>WORKDAY(J5-14+1,-1)</f>
        <v/>
      </c>
      <c r="L5" s="30">
        <f>WORKDAY(J5-7+1,-1)</f>
        <v/>
      </c>
      <c r="M5" s="30">
        <f>WORKDAY(J5-3+1,-1)</f>
        <v/>
      </c>
      <c r="N5" s="30" t="n">
        <v>46229</v>
      </c>
      <c r="O5" s="31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W27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2" t="n">
        <v>46209</v>
      </c>
      <c r="K6" s="32">
        <f>WORKDAY(J6-14+1,-1)</f>
        <v/>
      </c>
      <c r="L6" s="32">
        <f>WORKDAY(J6-7+1,-1)</f>
        <v/>
      </c>
      <c r="M6" s="32">
        <f>WORKDAY(J6-3+1,-1)</f>
        <v/>
      </c>
      <c r="N6" s="32" t="n">
        <v>46229</v>
      </c>
      <c r="O6" s="33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W27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46209</v>
      </c>
      <c r="K7" s="34">
        <f>WORKDAY(J7-10+1,-1)</f>
        <v/>
      </c>
      <c r="L7" s="35">
        <f>WORKDAY(J7-5+1,-1)</f>
        <v/>
      </c>
      <c r="M7" s="30">
        <f>WORKDAY(J7-3+1,-1)</f>
        <v/>
      </c>
      <c r="N7" s="30" t="n">
        <v>46234</v>
      </c>
      <c r="O7" s="31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W28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2" t="n">
        <v>46216</v>
      </c>
      <c r="K8" s="34">
        <f>WORKDAY(J8-14+1,-1)</f>
        <v/>
      </c>
      <c r="L8" s="32">
        <f>WORKDAY(J8-7+1,-1)</f>
        <v/>
      </c>
      <c r="M8" s="35">
        <f>WORKDAY(J8-4+1,-1)</f>
        <v/>
      </c>
      <c r="N8" s="32" t="n">
        <v>46230</v>
      </c>
      <c r="O8" s="33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W28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46216</v>
      </c>
      <c r="K9" s="34">
        <f>WORKDAY(J9-14+1,-1)</f>
        <v/>
      </c>
      <c r="L9" s="30">
        <f>WORKDAY(J9-7+1,-1)</f>
        <v/>
      </c>
      <c r="M9" s="35">
        <f>WORKDAY(J9-4+1,-1)</f>
        <v/>
      </c>
      <c r="N9" s="30" t="n">
        <v>46230</v>
      </c>
      <c r="O9" s="31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W28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2" t="n">
        <v>46216</v>
      </c>
      <c r="K10" s="34">
        <f>WORKDAY(J10-21+1,-1)</f>
        <v/>
      </c>
      <c r="L10" s="35">
        <f>WORKDAY(J10-10+1,-1)</f>
        <v/>
      </c>
      <c r="M10" s="35">
        <f>WORKDAY(J10-5+1,-1)</f>
        <v/>
      </c>
      <c r="N10" s="32" t="n">
        <v>46237</v>
      </c>
      <c r="O10" s="33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W29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46223</v>
      </c>
      <c r="K11" s="30">
        <f>WORKDAY(J11-14+1,-1)</f>
        <v/>
      </c>
      <c r="L11" s="30">
        <f>WORKDAY(J11-7+1,-1)</f>
        <v/>
      </c>
      <c r="M11" s="30">
        <f>WORKDAY(J11-3+1,-1)</f>
        <v/>
      </c>
      <c r="N11" s="30" t="n">
        <v>46244</v>
      </c>
      <c r="O11" s="31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W29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2" t="n">
        <v>46223</v>
      </c>
      <c r="K12" s="35">
        <f>WORKDAY(J12-10+1,-1)</f>
        <v/>
      </c>
      <c r="L12" s="35">
        <f>WORKDAY(J12-5+1,-1)</f>
        <v/>
      </c>
      <c r="M12" s="32">
        <f>WORKDAY(J12-3+1,-1)</f>
        <v/>
      </c>
      <c r="N12" s="32" t="n">
        <v>46244</v>
      </c>
      <c r="O12" s="33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W29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46223</v>
      </c>
      <c r="K13" s="34">
        <f>WORKDAY(J13-21+1,-1)</f>
        <v/>
      </c>
      <c r="L13" s="35">
        <f>WORKDAY(J13-10+1,-1)</f>
        <v/>
      </c>
      <c r="M13" s="35">
        <f>WORKDAY(J13-5+1,-1)</f>
        <v/>
      </c>
      <c r="N13" s="30" t="n">
        <v>46251</v>
      </c>
      <c r="O13" s="31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W30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Always-on</t>
        </is>
      </c>
      <c r="F14" s="14" t="inlineStr">
        <is>
          <t>Google Search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Search RSA</t>
        </is>
      </c>
      <c r="J14" s="32" t="n">
        <v>46230</v>
      </c>
      <c r="K14" s="35">
        <f>WORKDAY(J14-10+1,-1)</f>
        <v/>
      </c>
      <c r="L14" s="35">
        <f>WORKDAY(J14-5+1,-1)</f>
        <v/>
      </c>
      <c r="M14" s="32">
        <f>WORKDAY(J14-2+1,-1)</f>
        <v/>
      </c>
      <c r="N14" s="32" t="n">
        <v>46258</v>
      </c>
      <c r="O14" s="33" t="n">
        <v>600000</v>
      </c>
      <c r="P14" s="17" t="inlineStr">
        <is>
          <t>ROAS 2.0 · CPA 110к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W30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46230</v>
      </c>
      <c r="K15" s="30">
        <f>WORKDAY(J15-14+1,-1)</f>
        <v/>
      </c>
      <c r="L15" s="30">
        <f>WORKDAY(J15-7+1,-1)</f>
        <v/>
      </c>
      <c r="M15" s="35">
        <f>WORKDAY(J15-4+1,-1)</f>
        <v/>
      </c>
      <c r="N15" s="30" t="n">
        <v>46244</v>
      </c>
      <c r="O15" s="31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W30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2" t="n">
        <v>46230</v>
      </c>
      <c r="K16" s="35">
        <f>WORKDAY(J16-10+1,-1)</f>
        <v/>
      </c>
      <c r="L16" s="35">
        <f>WORKDAY(J16-5+1,-1)</f>
        <v/>
      </c>
      <c r="M16" s="32">
        <f>WORKDAY(J16-2+1,-1)</f>
        <v/>
      </c>
      <c r="N16" s="32" t="n">
        <v>46258</v>
      </c>
      <c r="O16" s="33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N17" s="21" t="inlineStr">
        <is>
          <t>ИТОГО</t>
        </is>
      </c>
      <c r="O17" s="36">
        <f>SUM(O5:O16)</f>
        <v/>
      </c>
      <c r="P17" s="23" t="n"/>
      <c r="Q17" s="23" t="n"/>
      <c r="R17" s="23" t="n"/>
    </row>
    <row r="19">
      <c r="A19" s="37" t="inlineStr">
        <is>
          <t>Пересчитано агентом</t>
        </is>
      </c>
    </row>
    <row r="20">
      <c r="A20" s="25" t="inlineStr">
        <is>
          <t>Дедлайны считаются по правилам вкладки «2. Правила дедлайнов» для своего типа кампании. Формула WORKDAY(старт−N+1;−1) переносит дедлайн с выходного на предыдущий рабочий день. Меняете дату старта в колонке J — дедлайны пересчитываются автоматически.</t>
        </is>
      </c>
    </row>
    <row r="21">
      <c r="A21" s="25" t="inlineStr">
        <is>
          <t>Жёлтая заливка — дедлайн изменён относительно исходного файла.</t>
        </is>
      </c>
    </row>
    <row r="22">
      <c r="A22" s="25" t="inlineStr">
        <is>
          <t>Оранжевая заливка — дедлайн в прошлом при незакрытом статусе.</t>
        </is>
      </c>
    </row>
    <row r="23">
      <c r="A23" s="25" t="inlineStr">
        <is>
          <t>Дата расчёта: 01.07.2026</t>
        </is>
      </c>
    </row>
    <row r="24">
      <c r="A24" s="25" t="inlineStr">
        <is>
          <t>•  ВНИМАНИЕ: сейчас дедлайны посчитаны единым правилом −14/−7/−3 для всех кампаний. По вкладке «2. Правила дедлайнов» правила разные по типам — агент должен применить корректные и подсветить расхождения.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2026-07-24T08:49:32Z</dcterms:created>
  <dcterms:modified xsi:type="dcterms:W3CDTF">2026-07-27T16:33:45Z</dcterms:modified>
</cp:coreProperties>
</file>