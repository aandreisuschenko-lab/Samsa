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1. Контент-план" sheetId="1" state="visible" r:id="rId1"/>
    <sheet name="2. Правила дедлайнов" sheetId="2" state="visible" r:id="rId2"/>
    <sheet name="3. Каналы и назначения" sheetId="3" state="visible" r:id="rId3"/>
    <sheet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₸&quot;"/>
  </numFmts>
  <fonts count="12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AI Content Plan Agent</author>
  </authors>
  <commentList>
    <comment ref="R5" authorId="0" shapeId="0">
      <text>
        <t>[P2] W31 · перегруз: 6 запусков при лимите 4</t>
      </text>
    </comment>
    <comment ref="R6" authorId="0" shapeId="0">
      <text>
        <t>[P2] W31 · перегруз: 6 запусков при лимите 4</t>
      </text>
    </comment>
    <comment ref="R7" authorId="0" shapeId="0">
      <text>
        <t>[P2] C-03 · дедлайны посчитаны не по правилам типа «Маркетплейс»
[P2] W31 · перегруз: 6 запусков при лимите 4</t>
      </text>
    </comment>
    <comment ref="R8" authorId="0" shapeId="0">
      <text>
        <t>[P2] C-04 · дедлайны посчитаны не по правилам типа «Retail support»</t>
      </text>
    </comment>
    <comment ref="R9" authorId="0" shapeId="0">
      <text>
        <t>[P2] C-05 · дедлайны посчитаны не по правилам типа «Retail support»</t>
      </text>
    </comment>
    <comment ref="R10" authorId="0" shapeId="0">
      <text>
        <t>[P2] RB53DG703EB1WT · медийка без перформанс-поддержки
[P2] C-06 · дедлайны посчитаны не по правилам типа «Медийка»</t>
      </text>
    </comment>
    <comment ref="R12" authorId="0" shapeId="0">
      <text>
        <t>[P2] C-08 · дедлайны посчитаны не по правилам типа «Маркетплейс»</t>
      </text>
    </comment>
    <comment ref="R13" authorId="0" shapeId="0">
      <text>
        <t>[P2] Bespoke line · медийка без перформанс-поддержки
[P2] C-09 · дедлайны посчитаны не по правилам типа «Медийка»</t>
      </text>
    </comment>
    <comment ref="R14" authorId="0" shapeId="0">
      <text>
        <t>[P2] WW65AK4S21CELT · медийка без перформанс-поддержки
[P2] C-10 · дедлайны посчитаны не по правилам типа «Медийка»</t>
      </text>
    </comment>
    <comment ref="R15" authorId="0" shapeId="0">
      <text>
        <t>[P2] C-11 · дедлайны посчитаны не по правилам типа «Retail support»</t>
      </text>
    </comment>
    <comment ref="R16" authorId="0" shapeId="0">
      <text>
        <t>[P2] C-12 · дедлайны посчитаны не по правилам типа «Always-on»</t>
      </text>
    </comment>
    <comment ref="R17" authorId="0" shapeId="0">
      <text>
        <t>[P2] W31 · перегруз: 6 запусков при лимите 4</t>
      </text>
    </comment>
    <comment ref="R18" authorId="0" shapeId="0">
      <text>
        <t>[P2] C-14 · дедлайны посчитаны не по правилам типа «Маркетплейс»
[P2] W31 · перегруз: 6 запусков при лимите 4</t>
      </text>
    </comment>
    <comment ref="R19" authorId="0" shapeId="0">
      <text>
        <t>[P2] C-15 · дедлайны посчитаны не по правилам типа «Retail support»
[P2] W31 · перегруз: 6 запусков при лимите 4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август 2026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W31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30" t="n">
        <v>46237</v>
      </c>
      <c r="K5" s="30">
        <f>WORKDAY(J5-14+1,-1)</f>
        <v/>
      </c>
      <c r="L5" s="30">
        <f>WORKDAY(J5-7+1,-1)</f>
        <v/>
      </c>
      <c r="M5" s="30">
        <f>WORKDAY(J5-3+1,-1)</f>
        <v/>
      </c>
      <c r="N5" s="30" t="n">
        <v>46257</v>
      </c>
      <c r="O5" s="31" t="n">
        <v>800000</v>
      </c>
      <c r="P5" s="10" t="inlineStr">
        <is>
          <t>ROAS 3.0 · 25 покупок</t>
        </is>
      </c>
      <c r="Q5" s="6" t="inlineStr">
        <is>
          <t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W31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>Search RSA</t>
        </is>
      </c>
      <c r="J6" s="32" t="n">
        <v>46237</v>
      </c>
      <c r="K6" s="32">
        <f>WORKDAY(J6-14+1,-1)</f>
        <v/>
      </c>
      <c r="L6" s="32">
        <f>WORKDAY(J6-7+1,-1)</f>
        <v/>
      </c>
      <c r="M6" s="32">
        <f>WORKDAY(J6-3+1,-1)</f>
        <v/>
      </c>
      <c r="N6" s="32" t="n">
        <v>46257</v>
      </c>
      <c r="O6" s="33" t="n">
        <v>900000</v>
      </c>
      <c r="P6" s="17" t="inlineStr">
        <is>
          <t>ROAS 2.5 · CPA 90к</t>
        </is>
      </c>
      <c r="Q6" s="14" t="inlineStr">
        <is>
          <t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W31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30" t="n">
        <v>46237</v>
      </c>
      <c r="K7" s="34">
        <f>WORKDAY(J7-10+1,-1)</f>
        <v/>
      </c>
      <c r="L7" s="34">
        <f>WORKDAY(J7-5+1,-1)</f>
        <v/>
      </c>
      <c r="M7" s="30">
        <f>WORKDAY(J7-3+1,-1)</f>
        <v/>
      </c>
      <c r="N7" s="30" t="n">
        <v>46262</v>
      </c>
      <c r="O7" s="31" t="n">
        <v>450000</v>
      </c>
      <c r="P7" s="10" t="inlineStr">
        <is>
          <t>CTR 1.2% · 40 заказов</t>
        </is>
      </c>
      <c r="Q7" s="6" t="inlineStr">
        <is>
          <t>AI Mktg Manager</t>
        </is>
      </c>
      <c r="R7" s="18" t="inlineStr">
        <is>
          <t>В работе</t>
        </is>
      </c>
    </row>
    <row r="8">
      <c r="A8" s="12" t="inlineStr">
        <is>
          <t>C-04</t>
        </is>
      </c>
      <c r="B8" s="13" t="inlineStr">
        <is>
          <t>W32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>Feed Square</t>
        </is>
      </c>
      <c r="J8" s="32" t="n">
        <v>46244</v>
      </c>
      <c r="K8" s="32">
        <f>WORKDAY(J8-14+1,-1)</f>
        <v/>
      </c>
      <c r="L8" s="32">
        <f>WORKDAY(J8-7+1,-1)</f>
        <v/>
      </c>
      <c r="M8" s="34">
        <f>WORKDAY(J8-4+1,-1)</f>
        <v/>
      </c>
      <c r="N8" s="32" t="n">
        <v>46258</v>
      </c>
      <c r="O8" s="33" t="n">
        <v>320000</v>
      </c>
      <c r="P8" s="17" t="inlineStr">
        <is>
          <t>Охват 800к · CTR 0.8%</t>
        </is>
      </c>
      <c r="Q8" s="14" t="inlineStr">
        <is>
          <t>AI Mktg Manager</t>
        </is>
      </c>
      <c r="R8" s="18" t="inlineStr">
        <is>
          <t>В работе</t>
        </is>
      </c>
    </row>
    <row r="9">
      <c r="A9" s="4" t="inlineStr">
        <is>
          <t>C-05</t>
        </is>
      </c>
      <c r="B9" s="5" t="inlineStr">
        <is>
          <t>W32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>Feed Portrait</t>
        </is>
      </c>
      <c r="J9" s="30" t="n">
        <v>46244</v>
      </c>
      <c r="K9" s="30">
        <f>WORKDAY(J9-14+1,-1)</f>
        <v/>
      </c>
      <c r="L9" s="30">
        <f>WORKDAY(J9-7+1,-1)</f>
        <v/>
      </c>
      <c r="M9" s="34">
        <f>WORKDAY(J9-4+1,-1)</f>
        <v/>
      </c>
      <c r="N9" s="30" t="n">
        <v>46258</v>
      </c>
      <c r="O9" s="31" t="n">
        <v>300000</v>
      </c>
      <c r="P9" s="10" t="inlineStr">
        <is>
          <t>Охват 700к · CTR 0.8%</t>
        </is>
      </c>
      <c r="Q9" s="6" t="inlineStr">
        <is>
          <t>AI Mktg Manager</t>
        </is>
      </c>
      <c r="R9" s="18" t="inlineStr">
        <is>
          <t>В работе</t>
        </is>
      </c>
    </row>
    <row r="10">
      <c r="A10" s="12" t="inlineStr">
        <is>
          <t>C-06</t>
        </is>
      </c>
      <c r="B10" s="13" t="inlineStr">
        <is>
          <t>W32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>Video 16:9</t>
        </is>
      </c>
      <c r="J10" s="32" t="n">
        <v>46244</v>
      </c>
      <c r="K10" s="34">
        <f>WORKDAY(J10-21+1,-1)</f>
        <v/>
      </c>
      <c r="L10" s="34">
        <f>WORKDAY(J10-10+1,-1)</f>
        <v/>
      </c>
      <c r="M10" s="34">
        <f>WORKDAY(J10-5+1,-1)</f>
        <v/>
      </c>
      <c r="N10" s="32" t="n">
        <v>46265</v>
      </c>
      <c r="O10" s="33" t="n">
        <v>1200000</v>
      </c>
      <c r="P10" s="17" t="inlineStr">
        <is>
          <t>Охват 2М · VTR 25%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W33</t>
        </is>
      </c>
      <c r="C11" s="6" t="inlineStr">
        <is>
          <t>NV75T9979CD/WT</t>
        </is>
      </c>
      <c r="D11" s="6" t="inlineStr">
        <is>
          <t>Духовые шкафы</t>
        </is>
      </c>
      <c r="E11" s="7" t="inlineStr">
        <is>
          <t>Промо-запуск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30" t="n">
        <v>46251</v>
      </c>
      <c r="K11" s="30">
        <f>WORKDAY(J11-14+1,-1)</f>
        <v/>
      </c>
      <c r="L11" s="30">
        <f>WORKDAY(J11-7+1,-1)</f>
        <v/>
      </c>
      <c r="M11" s="30">
        <f>WORKDAY(J11-3+1,-1)</f>
        <v/>
      </c>
      <c r="N11" s="30" t="n">
        <v>46272</v>
      </c>
      <c r="O11" s="31" t="n">
        <v>700000</v>
      </c>
      <c r="P11" s="10" t="inlineStr">
        <is>
          <t>ROAS 2.5 · 12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W33</t>
        </is>
      </c>
      <c r="C12" s="14" t="inlineStr">
        <is>
          <t>NV75T9979CD/WT</t>
        </is>
      </c>
      <c r="D12" s="14" t="inlineStr">
        <is>
          <t>Духовые шкафы</t>
        </is>
      </c>
      <c r="E12" s="7" t="inlineStr">
        <is>
          <t>Маркетплейс</t>
        </is>
      </c>
      <c r="F12" s="14" t="inlineStr">
        <is>
          <t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32" t="n">
        <v>46251</v>
      </c>
      <c r="K12" s="34">
        <f>WORKDAY(J12-10+1,-1)</f>
        <v/>
      </c>
      <c r="L12" s="34">
        <f>WORKDAY(J12-5+1,-1)</f>
        <v/>
      </c>
      <c r="M12" s="32">
        <f>WORKDAY(J12-3+1,-1)</f>
        <v/>
      </c>
      <c r="N12" s="32" t="n">
        <v>46272</v>
      </c>
      <c r="O12" s="33" t="n">
        <v>400000</v>
      </c>
      <c r="P12" s="17" t="inlineStr">
        <is>
          <t>CTR 1.0% · 20 заказов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W33</t>
        </is>
      </c>
      <c r="C13" s="6" t="inlineStr">
        <is>
          <t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30" t="n">
        <v>46251</v>
      </c>
      <c r="K13" s="34">
        <f>WORKDAY(J13-21+1,-1)</f>
        <v/>
      </c>
      <c r="L13" s="34">
        <f>WORKDAY(J13-10+1,-1)</f>
        <v/>
      </c>
      <c r="M13" s="34">
        <f>WORKDAY(J13-5+1,-1)</f>
        <v/>
      </c>
      <c r="N13" s="30" t="n">
        <v>46279</v>
      </c>
      <c r="O13" s="31" t="n">
        <v>950000</v>
      </c>
      <c r="P13" s="10" t="inlineStr">
        <is>
          <t>Охват 1.5М · CTR 0.9%</t>
        </is>
      </c>
      <c r="Q13" s="6" t="inlineStr">
        <is>
          <t>Head of Marketing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W34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Медийка</t>
        </is>
      </c>
      <c r="F14" s="14" t="inlineStr">
        <is>
          <t>YouTube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>Video 16:9</t>
        </is>
      </c>
      <c r="J14" s="32" t="n">
        <v>46258</v>
      </c>
      <c r="K14" s="34">
        <f>WORKDAY(J14-21+1,-1)</f>
        <v/>
      </c>
      <c r="L14" s="34">
        <f>WORKDAY(J14-10+1,-1)</f>
        <v/>
      </c>
      <c r="M14" s="34">
        <f>WORKDAY(J14-5+1,-1)</f>
        <v/>
      </c>
      <c r="N14" s="32" t="n">
        <v>46286</v>
      </c>
      <c r="O14" s="33" t="n">
        <v>1100000</v>
      </c>
      <c r="P14" s="17" t="inlineStr">
        <is>
          <t>Охват 1.8М · VTR 24%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W34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30" t="n">
        <v>46258</v>
      </c>
      <c r="K15" s="30">
        <f>WORKDAY(J15-14+1,-1)</f>
        <v/>
      </c>
      <c r="L15" s="30">
        <f>WORKDAY(J15-7+1,-1)</f>
        <v/>
      </c>
      <c r="M15" s="34">
        <f>WORKDAY(J15-4+1,-1)</f>
        <v/>
      </c>
      <c r="N15" s="30" t="n">
        <v>46272</v>
      </c>
      <c r="O15" s="31" t="n">
        <v>280000</v>
      </c>
      <c r="P15" s="10" t="inlineStr">
        <is>
          <t>Охват 500к · CTR 0.5%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W34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32" t="n">
        <v>46258</v>
      </c>
      <c r="K16" s="34">
        <f>WORKDAY(J16-10+1,-1)</f>
        <v/>
      </c>
      <c r="L16" s="34">
        <f>WORKDAY(J16-5+1,-1)</f>
        <v/>
      </c>
      <c r="M16" s="32">
        <f>WORKDAY(J16-2+1,-1)</f>
        <v/>
      </c>
      <c r="N16" s="32" t="n">
        <v>46286</v>
      </c>
      <c r="O16" s="33" t="n">
        <v>500000</v>
      </c>
      <c r="P16" s="17" t="inlineStr">
        <is>
          <t>Охват 1.2М · CTR 1.0%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A17" s="4" t="inlineStr">
        <is>
          <t>C-13</t>
        </is>
      </c>
      <c r="B17" s="5" t="inlineStr">
        <is>
          <t>W31</t>
        </is>
      </c>
      <c r="C17" s="6" t="inlineStr">
        <is>
          <t>AR80F09CABWNER</t>
        </is>
      </c>
      <c r="D17" s="6" t="inlineStr">
        <is>
          <t>Кондиционеры</t>
        </is>
      </c>
      <c r="E17" s="7" t="inlineStr">
        <is>
          <t>Промо-запуск</t>
        </is>
      </c>
      <c r="F17" s="6" t="inlineStr">
        <is>
          <t>Performance Max</t>
        </is>
      </c>
      <c r="G17" s="4" t="inlineStr">
        <is>
          <t>samsung.kz</t>
        </is>
      </c>
      <c r="H17" s="5" t="inlineStr">
        <is>
          <t>CR-019</t>
        </is>
      </c>
      <c r="I17" s="6" t="inlineStr">
        <is>
          <t>Display</t>
        </is>
      </c>
      <c r="J17" s="30" t="n">
        <v>46237</v>
      </c>
      <c r="K17" s="30">
        <f>WORKDAY(J17-14+1,-1)</f>
        <v/>
      </c>
      <c r="L17" s="30">
        <f>WORKDAY(J17-7+1,-1)</f>
        <v/>
      </c>
      <c r="M17" s="30">
        <f>WORKDAY(J17-3+1,-1)</f>
        <v/>
      </c>
      <c r="N17" s="30" t="n">
        <v>46258</v>
      </c>
      <c r="O17" s="31" t="n">
        <v>650000</v>
      </c>
      <c r="P17" s="10" t="inlineStr">
        <is>
          <t>ROAS 2.8 · 18 покупок</t>
        </is>
      </c>
      <c r="Q17" s="6" t="inlineStr">
        <is>
          <t>AI Mktg Manager</t>
        </is>
      </c>
      <c r="R17" s="11" t="inlineStr">
        <is>
          <t>Не начато</t>
        </is>
      </c>
    </row>
    <row r="18">
      <c r="A18" s="4" t="inlineStr">
        <is>
          <t>C-14</t>
        </is>
      </c>
      <c r="B18" s="5" t="inlineStr">
        <is>
          <t>W31</t>
        </is>
      </c>
      <c r="C18" s="6" t="inlineStr">
        <is>
          <t>AR80F09CABWNER</t>
        </is>
      </c>
      <c r="D18" s="6" t="inlineStr">
        <is>
          <t>Кондиционеры</t>
        </is>
      </c>
      <c r="E18" s="7" t="inlineStr">
        <is>
          <t>Маркетплейс</t>
        </is>
      </c>
      <c r="F18" s="6" t="inlineStr">
        <is>
          <t>Kaspi Ads</t>
        </is>
      </c>
      <c r="G18" s="4" t="inlineStr">
        <is>
          <t>Kaspi.kz</t>
        </is>
      </c>
      <c r="H18" s="5" t="inlineStr">
        <is>
          <t>CR-020</t>
        </is>
      </c>
      <c r="I18" s="6" t="inlineStr">
        <is>
          <t>Banner</t>
        </is>
      </c>
      <c r="J18" s="30" t="n">
        <v>46237</v>
      </c>
      <c r="K18" s="34">
        <f>WORKDAY(J18-10+1,-1)</f>
        <v/>
      </c>
      <c r="L18" s="34">
        <f>WORKDAY(J18-5+1,-1)</f>
        <v/>
      </c>
      <c r="M18" s="30">
        <f>WORKDAY(J18-3+1,-1)</f>
        <v/>
      </c>
      <c r="N18" s="30" t="n">
        <v>46263</v>
      </c>
      <c r="O18" s="31" t="n">
        <v>380000</v>
      </c>
      <c r="P18" s="10" t="inlineStr">
        <is>
          <t>CTR 1.1% · 30 заказов</t>
        </is>
      </c>
      <c r="Q18" s="6" t="inlineStr">
        <is>
          <t>AI Mktg Manager</t>
        </is>
      </c>
      <c r="R18" s="11" t="inlineStr">
        <is>
          <t>Не начато</t>
        </is>
      </c>
    </row>
    <row r="19">
      <c r="A19" s="4" t="inlineStr">
        <is>
          <t>C-15</t>
        </is>
      </c>
      <c r="B19" s="5" t="inlineStr">
        <is>
          <t>W31</t>
        </is>
      </c>
      <c r="C19" s="6" t="inlineStr">
        <is>
          <t>RB53DG703EB1WT</t>
        </is>
      </c>
      <c r="D19" s="6" t="inlineStr">
        <is>
          <t>Холодильники</t>
        </is>
      </c>
      <c r="E19" s="7" t="inlineStr">
        <is>
          <t>Retail support</t>
        </is>
      </c>
      <c r="F19" s="6" t="inlineStr">
        <is>
          <t>Meta</t>
        </is>
      </c>
      <c r="G19" s="4" t="inlineStr">
        <is>
          <t>Evrika</t>
        </is>
      </c>
      <c r="H19" s="5" t="inlineStr">
        <is>
          <t>CR-021</t>
        </is>
      </c>
      <c r="I19" s="6" t="inlineStr">
        <is>
          <t>Feed Square</t>
        </is>
      </c>
      <c r="J19" s="30" t="n">
        <v>46237</v>
      </c>
      <c r="K19" s="30">
        <f>WORKDAY(J19-14+1,-1)</f>
        <v/>
      </c>
      <c r="L19" s="30">
        <f>WORKDAY(J19-7+1,-1)</f>
        <v/>
      </c>
      <c r="M19" s="34">
        <f>WORKDAY(J19-4+1,-1)</f>
        <v/>
      </c>
      <c r="N19" s="30" t="n">
        <v>46258</v>
      </c>
      <c r="O19" s="31" t="n">
        <v>260000</v>
      </c>
      <c r="P19" s="10" t="inlineStr">
        <is>
          <t>Охват 400к · CTR 0.7%</t>
        </is>
      </c>
      <c r="Q19" s="6" t="inlineStr">
        <is>
          <t>AI Mktg Manager</t>
        </is>
      </c>
      <c r="R19" s="11" t="inlineStr">
        <is>
          <t>Не начато</t>
        </is>
      </c>
    </row>
    <row r="20">
      <c r="A20" s="25" t="inlineStr">
        <is>
          <t>•  Дедлайны (Бриф/Креатив/Согласование) — формулы от даты старта: −14, −7, −3 дня. Меняешь старт — пересчёт автоматом.</t>
        </is>
      </c>
    </row>
    <row r="21">
      <c r="A21" s="25" t="inlineStr">
        <is>
          <t>•  Назначение — куда ведёт трафик: samsung.kz, маркетплейс или конкретный дистрибьютор.</t>
        </is>
      </c>
    </row>
    <row r="22">
      <c r="A22" s="35" t="inlineStr">
        <is>
          <t>Пересчитано агентом</t>
        </is>
      </c>
    </row>
    <row r="23">
      <c r="A23" s="25" t="inlineStr">
        <is>
          <t>Дедлайны считаются по правилам вкладки «2. Правила дедлайнов» для своего типа кампании. Формула WORKDAY(старт−N+1;−1) переносит дедлайн с выходного на предыдущий рабочий день. Меняете дату старта в колонке J — дедлайны пересчитываются автоматически.</t>
        </is>
      </c>
    </row>
    <row r="24">
      <c r="A24" s="25" t="inlineStr">
        <is>
          <t>Жёлтая заливка — дедлайн изменён относительно исходного файла.</t>
        </is>
      </c>
    </row>
    <row r="25">
      <c r="A25" t="inlineStr">
        <is>
          <t>Оранжевая заливка — дедлайн в прошлом при незакрытом статусе.</t>
        </is>
      </c>
    </row>
    <row r="26">
      <c r="A26" t="inlineStr">
        <is>
          <t>Дата расчёта: 13.07.2026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2026-07-24T08:49:32Z</dcterms:created>
  <dcterms:modified xsi:type="dcterms:W3CDTF">2026-07-27T16:44:14Z</dcterms:modified>
</cp:coreProperties>
</file>