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1. Контент-план" sheetId="1" state="visible" r:id="rId1"/>
    <sheet name="2. Правила дедлайнов" sheetId="2" state="visible" r:id="rId2"/>
    <sheet name="3. Каналы и назначения" sheetId="3" state="visible" r:id="rId3"/>
    <sheet name="4. Трекин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&quot; ₸&quot;"/>
  </numFmts>
  <fonts count="12">
    <font>
      <name val="Calibri"/>
      <color theme="1"/>
      <sz val="11"/>
      <scheme val="minor"/>
    </font>
    <font>
      <name val="Arial"/>
      <b val="1"/>
      <color rgb="FF1428A0"/>
      <sz val="15"/>
    </font>
    <font>
      <name val="Arial"/>
      <color rgb="FF595959"/>
      <sz val="10"/>
    </font>
    <font>
      <name val="Arial"/>
      <b val="1"/>
      <color indexed="65"/>
      <sz val="8.5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0F6E56"/>
      <sz val="9"/>
    </font>
    <font>
      <name val="Arial"/>
      <b val="1"/>
      <color rgb="FF854F0B"/>
      <sz val="9"/>
    </font>
    <font>
      <name val="Arial"/>
      <b val="1"/>
      <color rgb="FFA32D2D"/>
      <sz val="9"/>
    </font>
    <font>
      <name val="Arial"/>
      <b val="1"/>
      <color rgb="FF1A1A1A"/>
      <sz val="10"/>
    </font>
    <font>
      <name val="Arial"/>
      <color rgb="FF595959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FF1428A0"/>
      </patternFill>
    </fill>
    <fill>
      <patternFill patternType="solid">
        <fgColor rgb="FFE6F1FB"/>
      </patternFill>
    </fill>
    <fill>
      <patternFill patternType="solid">
        <fgColor rgb="FFE7F5EC"/>
      </patternFill>
    </fill>
    <fill>
      <patternFill patternType="solid">
        <fgColor rgb="FFF5F7FC"/>
      </patternFill>
    </fill>
    <fill>
      <patternFill patternType="solid">
        <fgColor rgb="FFFAEEDA"/>
      </patternFill>
    </fill>
    <fill>
      <patternFill patternType="solid">
        <fgColor rgb="FFF3EDFB"/>
      </patternFill>
    </fill>
    <fill>
      <patternFill patternType="solid">
        <fgColor rgb="FFFCEBEB"/>
      </patternFill>
    </fill>
    <fill>
      <patternFill patternType="solid">
        <fgColor rgb="FFEEF1F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AI Content Plan Agent</author>
  </authors>
  <commentList>
    <comment ref="R5" authorId="0" shapeId="0">
      <text>
        <t>[P2] W31 · перегруз: 6 запусков при лимите 4</t>
      </text>
    </comment>
    <comment ref="R6" authorId="0" shapeId="0">
      <text>
        <t>[P2] W31 · перегруз: 6 запусков при лимите 4</t>
      </text>
    </comment>
    <comment ref="R7" authorId="0" shapeId="0">
      <text>
        <t>[P1] C-03 · не успеть к старту: осталось 2 дн., нужно 10
[P1] C-03 · старт через 2 дн., креатив CR-011 не готов
[P2] C-03 · дедлайны посчитаны не по правилам типа «Маркетплейс»
[P2] W31 · перегруз: 6 запусков при лимите 4</t>
      </text>
    </comment>
    <comment ref="R8" authorId="0" shapeId="0">
      <text>
        <t>[P1] C-04 · не успеть к старту: осталось 9 дн., нужно 14
[P2] На ближайшие 7 дней приходится 12 дедлайнов при пороге 6
[P2] C-04 · дедлайны посчитаны не по правилам типа «Retail support»</t>
      </text>
    </comment>
    <comment ref="R9" authorId="0" shapeId="0">
      <text>
        <t>[P1] C-05 · не успеть к старту: осталось 9 дн., нужно 14
[P2] На ближайшие 7 дней приходится 12 дедлайнов при пороге 6
[P2] C-05 · дедлайны посчитаны не по правилам типа «Retail support»</t>
      </text>
    </comment>
    <comment ref="R10" authorId="0" shapeId="0">
      <text>
        <t>[P1] C-06 · не успеть к старту: осталось 9 дн., нужно 21
[P1] C-06 · дедлайны посчитаны не по правилам типа «Медийка»
[P2] На ближайшие 7 дней приходится 12 дедлайнов при пороге 6
[P2] RB53DG703EB1WT · медийка без перформанс-поддержки</t>
      </text>
    </comment>
    <comment ref="R11" authorId="0" shapeId="0">
      <text>
        <t>[P2] На ближайшие 7 дней приходится 12 дедлайнов при пороге 6</t>
      </text>
    </comment>
    <comment ref="R12" authorId="0" shapeId="0">
      <text>
        <t>[P2] На ближайшие 7 дней приходится 12 дедлайнов при пороге 6
[P2] C-08 · дедлайны посчитаны не по правилам типа «Маркетплейс»</t>
      </text>
    </comment>
    <comment ref="R13" authorId="0" shapeId="0">
      <text>
        <t>[P1] C-09 · не успеть к старту: осталось 16 дн., нужно 21
[P1] C-09 · дедлайны посчитаны не по правилам типа «Медийка»
[P2] На ближайшие 7 дней приходится 12 дедлайнов при пороге 6
[P2] Bespoke line · медийка без перформанс-поддержки</t>
      </text>
    </comment>
    <comment ref="R14" authorId="0" shapeId="0">
      <text>
        <t>[P2] На ближайшие 7 дней приходится 12 дедлайнов при пороге 6
[P2] WW65AK4S21CELT · медийка без перформанс-поддержки
[P2] C-10 · дедлайны посчитаны не по правилам типа «Медийка»</t>
      </text>
    </comment>
    <comment ref="R15" authorId="0" shapeId="0">
      <text>
        <t>[P2] C-11 · дедлайны посчитаны не по правилам типа «Retail support»</t>
      </text>
    </comment>
    <comment ref="R16" authorId="0" shapeId="0">
      <text>
        <t>[P2] C-12 · дедлайны посчитаны не по правилам типа «Always-on»</t>
      </text>
    </comment>
    <comment ref="R17" authorId="0" shapeId="0">
      <text>
        <t>[P1] C-13 · не успеть к старту: осталось 2 дн., нужно 14
[P1] C-13 · старт через 2 дн., креатив CR-019 не готов
[P2] W31 · перегруз: 6 запусков при лимите 4</t>
      </text>
    </comment>
    <comment ref="R18" authorId="0" shapeId="0">
      <text>
        <t>[P1] C-14 · не успеть к старту: осталось 2 дн., нужно 10
[P1] C-14 · старт через 2 дн., креатив CR-020 не готов
[P2] C-14 · дедлайны посчитаны не по правилам типа «Маркетплейс»
[P2] W31 · перегруз: 6 запусков при лимите 4</t>
      </text>
    </comment>
    <comment ref="R19" authorId="0" shapeId="0">
      <text>
        <t>[P1] C-15 · не успеть к старту: осталось 2 дн., нужно 14
[P1] C-15 · старт через 2 дн., креатив CR-021 не готов
[P1] C-15 · дедлайны посчитаны не по правилам типа «Retail support»
[P2] W31 · перегруз: 6 запусков при лимите 4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7" customWidth="1" min="3" max="3"/>
    <col width="15" customWidth="1" min="4" max="4"/>
    <col width="17" customWidth="1" min="5" max="5"/>
    <col width="16" customWidth="1" min="6" max="6"/>
    <col width="2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7" customWidth="1" min="16" max="16"/>
    <col width="17" customWidth="1" min="17" max="17"/>
    <col width="13" customWidth="1" min="18" max="18"/>
  </cols>
  <sheetData>
    <row r="1" ht="22" customHeight="1">
      <c r="A1" s="1" t="inlineStr">
        <is>
          <t>Мастер контент-план Digital — август 2026</t>
        </is>
      </c>
    </row>
    <row r="2">
      <c r="A2" s="2" t="inlineStr">
        <is>
          <t>Дедлайны считаются формулами обратным отсчётом от даты старта. Ведёт и трекает Digital-менеджер.</t>
        </is>
      </c>
    </row>
    <row r="4">
      <c r="A4" s="3" t="inlineStr">
        <is>
          <t>ID</t>
        </is>
      </c>
      <c r="B4" s="3" t="inlineStr">
        <is>
          <t>Нед.</t>
        </is>
      </c>
      <c r="C4" s="3" t="inlineStr">
        <is>
          <t>Модель</t>
        </is>
      </c>
      <c r="D4" s="3" t="inlineStr">
        <is>
          <t>Категория</t>
        </is>
      </c>
      <c r="E4" s="3" t="inlineStr">
        <is>
          <t>Тип кампании</t>
        </is>
      </c>
      <c r="F4" s="3" t="inlineStr">
        <is>
          <t>Канал</t>
        </is>
      </c>
      <c r="G4" s="3" t="inlineStr">
        <is>
          <t>Назначение (куда ведём)</t>
        </is>
      </c>
      <c r="H4" s="3" t="inlineStr">
        <is>
          <t>Креатив ID</t>
        </is>
      </c>
      <c r="I4" s="3" t="inlineStr">
        <is>
          <t>Формат</t>
        </is>
      </c>
      <c r="J4" s="3" t="inlineStr">
        <is>
          <t>Старт</t>
        </is>
      </c>
      <c r="K4" s="3" t="inlineStr">
        <is>
          <t>Бриф до</t>
        </is>
      </c>
      <c r="L4" s="3" t="inlineStr">
        <is>
          <t>Креатив до</t>
        </is>
      </c>
      <c r="M4" s="3" t="inlineStr">
        <is>
          <t>Согл. до</t>
        </is>
      </c>
      <c r="N4" s="3" t="inlineStr">
        <is>
          <t>Финиш</t>
        </is>
      </c>
      <c r="O4" s="3" t="inlineStr">
        <is>
          <t>Бюджет (₸)</t>
        </is>
      </c>
      <c r="P4" s="3" t="inlineStr">
        <is>
          <t>KPI цель</t>
        </is>
      </c>
      <c r="Q4" s="3" t="inlineStr">
        <is>
          <t>Ответственный</t>
        </is>
      </c>
      <c r="R4" s="3" t="inlineStr">
        <is>
          <t>Статус</t>
        </is>
      </c>
    </row>
    <row r="5">
      <c r="A5" s="4" t="inlineStr">
        <is>
          <t>C-01</t>
        </is>
      </c>
      <c r="B5" s="5" t="inlineStr">
        <is>
          <t>W31</t>
        </is>
      </c>
      <c r="C5" s="6" t="inlineStr">
        <is>
          <t>WW80AK6L28BBLT</t>
        </is>
      </c>
      <c r="D5" s="6" t="inlineStr">
        <is>
          <t>Стиралки</t>
        </is>
      </c>
      <c r="E5" s="7" t="inlineStr">
        <is>
          <t>Промо-запуск</t>
        </is>
      </c>
      <c r="F5" s="6" t="inlineStr">
        <is>
          <t>Performance Max</t>
        </is>
      </c>
      <c r="G5" s="4" t="inlineStr">
        <is>
          <t>samsung.kz</t>
        </is>
      </c>
      <c r="H5" s="5" t="inlineStr">
        <is>
          <t>CR-001</t>
        </is>
      </c>
      <c r="I5" s="6" t="inlineStr">
        <is>
          <t>Display</t>
        </is>
      </c>
      <c r="J5" s="30" t="n">
        <v>46237</v>
      </c>
      <c r="K5" s="30">
        <f>WORKDAY(J5-14+1,-1)</f>
        <v/>
      </c>
      <c r="L5" s="30">
        <f>WORKDAY(J5-7+1,-1)</f>
        <v/>
      </c>
      <c r="M5" s="30">
        <f>WORKDAY(J5-3+1,-1)</f>
        <v/>
      </c>
      <c r="N5" s="30" t="n">
        <v>46257</v>
      </c>
      <c r="O5" s="31" t="n">
        <v>800000</v>
      </c>
      <c r="P5" s="10" t="inlineStr">
        <is>
          <t>ROAS 3.0 · 25 покупок</t>
        </is>
      </c>
      <c r="Q5" s="6" t="inlineStr">
        <is>
          <t>AI Mktg Manager</t>
        </is>
      </c>
      <c r="R5" s="11" t="inlineStr">
        <is>
          <t>Готово</t>
        </is>
      </c>
    </row>
    <row r="6">
      <c r="A6" s="12" t="inlineStr">
        <is>
          <t>C-02</t>
        </is>
      </c>
      <c r="B6" s="13" t="inlineStr">
        <is>
          <t>W31</t>
        </is>
      </c>
      <c r="C6" s="14" t="inlineStr">
        <is>
          <t>WW80AK6L28BBLT</t>
        </is>
      </c>
      <c r="D6" s="14" t="inlineStr">
        <is>
          <t>Стиралки</t>
        </is>
      </c>
      <c r="E6" s="7" t="inlineStr">
        <is>
          <t>Промо-запуск</t>
        </is>
      </c>
      <c r="F6" s="14" t="inlineStr">
        <is>
          <t>Google Search</t>
        </is>
      </c>
      <c r="G6" s="12" t="inlineStr">
        <is>
          <t>samsung.kz</t>
        </is>
      </c>
      <c r="H6" s="13" t="inlineStr">
        <is>
          <t>CR-007</t>
        </is>
      </c>
      <c r="I6" s="14" t="inlineStr">
        <is>
          <t>Search RSA</t>
        </is>
      </c>
      <c r="J6" s="32" t="n">
        <v>46237</v>
      </c>
      <c r="K6" s="32">
        <f>WORKDAY(J6-14+1,-1)</f>
        <v/>
      </c>
      <c r="L6" s="32">
        <f>WORKDAY(J6-7+1,-1)</f>
        <v/>
      </c>
      <c r="M6" s="32">
        <f>WORKDAY(J6-3+1,-1)</f>
        <v/>
      </c>
      <c r="N6" s="32" t="n">
        <v>46257</v>
      </c>
      <c r="O6" s="33" t="n">
        <v>900000</v>
      </c>
      <c r="P6" s="17" t="inlineStr">
        <is>
          <t>ROAS 2.5 · CPA 90к</t>
        </is>
      </c>
      <c r="Q6" s="14" t="inlineStr">
        <is>
          <t>AI Mktg Manager</t>
        </is>
      </c>
      <c r="R6" s="11" t="inlineStr">
        <is>
          <t>Готово</t>
        </is>
      </c>
    </row>
    <row r="7">
      <c r="A7" s="4" t="inlineStr">
        <is>
          <t>C-03</t>
        </is>
      </c>
      <c r="B7" s="5" t="inlineStr">
        <is>
          <t>W31</t>
        </is>
      </c>
      <c r="C7" s="6" t="inlineStr">
        <is>
          <t>WW80AK6L28BBLT</t>
        </is>
      </c>
      <c r="D7" s="6" t="inlineStr">
        <is>
          <t>Стиралки</t>
        </is>
      </c>
      <c r="E7" s="7" t="inlineStr">
        <is>
          <t>Маркетплейс</t>
        </is>
      </c>
      <c r="F7" s="6" t="inlineStr">
        <is>
          <t>Kaspi Ads</t>
        </is>
      </c>
      <c r="G7" s="4" t="inlineStr">
        <is>
          <t>Kaspi.kz</t>
        </is>
      </c>
      <c r="H7" s="5" t="inlineStr">
        <is>
          <t>CR-011</t>
        </is>
      </c>
      <c r="I7" s="6" t="inlineStr">
        <is>
          <t>Banner</t>
        </is>
      </c>
      <c r="J7" s="30" t="n">
        <v>46237</v>
      </c>
      <c r="K7" s="34">
        <f>WORKDAY(J7-10+1,-1)</f>
        <v/>
      </c>
      <c r="L7" s="34">
        <f>WORKDAY(J7-5+1,-1)</f>
        <v/>
      </c>
      <c r="M7" s="34">
        <f>WORKDAY(J7-3+1,-1)</f>
        <v/>
      </c>
      <c r="N7" s="30" t="n">
        <v>46262</v>
      </c>
      <c r="O7" s="31" t="n">
        <v>450000</v>
      </c>
      <c r="P7" s="10" t="inlineStr">
        <is>
          <t>CTR 1.2% · 40 заказов</t>
        </is>
      </c>
      <c r="Q7" s="6" t="inlineStr">
        <is>
          <t>AI Mktg Manager</t>
        </is>
      </c>
      <c r="R7" s="18" t="inlineStr">
        <is>
          <t>В работе</t>
        </is>
      </c>
    </row>
    <row r="8">
      <c r="A8" s="12" t="inlineStr">
        <is>
          <t>C-04</t>
        </is>
      </c>
      <c r="B8" s="13" t="inlineStr">
        <is>
          <t>W32</t>
        </is>
      </c>
      <c r="C8" s="14" t="inlineStr">
        <is>
          <t>RB37A5411EL/WT</t>
        </is>
      </c>
      <c r="D8" s="14" t="inlineStr">
        <is>
          <t>Холодильники</t>
        </is>
      </c>
      <c r="E8" s="12" t="inlineStr">
        <is>
          <t>Retail support</t>
        </is>
      </c>
      <c r="F8" s="14" t="inlineStr">
        <is>
          <t>Meta</t>
        </is>
      </c>
      <c r="G8" s="12" t="inlineStr">
        <is>
          <t>Technodom</t>
        </is>
      </c>
      <c r="H8" s="13" t="inlineStr">
        <is>
          <t>CR-005</t>
        </is>
      </c>
      <c r="I8" s="14" t="inlineStr">
        <is>
          <t>Feed Square</t>
        </is>
      </c>
      <c r="J8" s="32" t="n">
        <v>46244</v>
      </c>
      <c r="K8" s="34">
        <f>WORKDAY(J8-14+1,-1)</f>
        <v/>
      </c>
      <c r="L8" s="32">
        <f>WORKDAY(J8-7+1,-1)</f>
        <v/>
      </c>
      <c r="M8" s="35">
        <f>WORKDAY(J8-4+1,-1)</f>
        <v/>
      </c>
      <c r="N8" s="32" t="n">
        <v>46258</v>
      </c>
      <c r="O8" s="33" t="n">
        <v>320000</v>
      </c>
      <c r="P8" s="17" t="inlineStr">
        <is>
          <t>Охват 800к · CTR 0.8%</t>
        </is>
      </c>
      <c r="Q8" s="14" t="inlineStr">
        <is>
          <t>AI Mktg Manager</t>
        </is>
      </c>
      <c r="R8" s="18" t="inlineStr">
        <is>
          <t>В работе</t>
        </is>
      </c>
    </row>
    <row r="9">
      <c r="A9" s="4" t="inlineStr">
        <is>
          <t>C-05</t>
        </is>
      </c>
      <c r="B9" s="5" t="inlineStr">
        <is>
          <t>W32</t>
        </is>
      </c>
      <c r="C9" s="6" t="inlineStr">
        <is>
          <t>RB37A5411EL/WT</t>
        </is>
      </c>
      <c r="D9" s="6" t="inlineStr">
        <is>
          <t>Холодильники</t>
        </is>
      </c>
      <c r="E9" s="4" t="inlineStr">
        <is>
          <t>Retail support</t>
        </is>
      </c>
      <c r="F9" s="6" t="inlineStr">
        <is>
          <t>Meta</t>
        </is>
      </c>
      <c r="G9" s="4" t="inlineStr">
        <is>
          <t>Sulpak</t>
        </is>
      </c>
      <c r="H9" s="5" t="inlineStr">
        <is>
          <t>CR-006</t>
        </is>
      </c>
      <c r="I9" s="6" t="inlineStr">
        <is>
          <t>Feed Portrait</t>
        </is>
      </c>
      <c r="J9" s="30" t="n">
        <v>46244</v>
      </c>
      <c r="K9" s="34">
        <f>WORKDAY(J9-14+1,-1)</f>
        <v/>
      </c>
      <c r="L9" s="30">
        <f>WORKDAY(J9-7+1,-1)</f>
        <v/>
      </c>
      <c r="M9" s="35">
        <f>WORKDAY(J9-4+1,-1)</f>
        <v/>
      </c>
      <c r="N9" s="30" t="n">
        <v>46258</v>
      </c>
      <c r="O9" s="31" t="n">
        <v>300000</v>
      </c>
      <c r="P9" s="10" t="inlineStr">
        <is>
          <t>Охват 700к · CTR 0.8%</t>
        </is>
      </c>
      <c r="Q9" s="6" t="inlineStr">
        <is>
          <t>AI Mktg Manager</t>
        </is>
      </c>
      <c r="R9" s="18" t="inlineStr">
        <is>
          <t>В работе</t>
        </is>
      </c>
    </row>
    <row r="10">
      <c r="A10" s="12" t="inlineStr">
        <is>
          <t>C-06</t>
        </is>
      </c>
      <c r="B10" s="13" t="inlineStr">
        <is>
          <t>W32</t>
        </is>
      </c>
      <c r="C10" s="14" t="inlineStr">
        <is>
          <t>RB53DG703EB1WT</t>
        </is>
      </c>
      <c r="D10" s="14" t="inlineStr">
        <is>
          <t>Холодильники</t>
        </is>
      </c>
      <c r="E10" s="19" t="inlineStr">
        <is>
          <t>Медийка</t>
        </is>
      </c>
      <c r="F10" s="14" t="inlineStr">
        <is>
          <t>YouTube</t>
        </is>
      </c>
      <c r="G10" s="12" t="inlineStr">
        <is>
          <t>samsung.kz</t>
        </is>
      </c>
      <c r="H10" s="13" t="inlineStr">
        <is>
          <t>CR-012</t>
        </is>
      </c>
      <c r="I10" s="14" t="inlineStr">
        <is>
          <t>Video 16:9</t>
        </is>
      </c>
      <c r="J10" s="32" t="n">
        <v>46244</v>
      </c>
      <c r="K10" s="34">
        <f>WORKDAY(J10-21+1,-1)</f>
        <v/>
      </c>
      <c r="L10" s="34">
        <f>WORKDAY(J10-10+1,-1)</f>
        <v/>
      </c>
      <c r="M10" s="35">
        <f>WORKDAY(J10-5+1,-1)</f>
        <v/>
      </c>
      <c r="N10" s="32" t="n">
        <v>46265</v>
      </c>
      <c r="O10" s="33" t="n">
        <v>1200000</v>
      </c>
      <c r="P10" s="17" t="inlineStr">
        <is>
          <t>Охват 2М · VTR 25%</t>
        </is>
      </c>
      <c r="Q10" s="14" t="inlineStr">
        <is>
          <t>AI Mktg Manager</t>
        </is>
      </c>
      <c r="R10" s="20" t="inlineStr">
        <is>
          <t>Не начато</t>
        </is>
      </c>
    </row>
    <row r="11">
      <c r="A11" s="4" t="inlineStr">
        <is>
          <t>C-07</t>
        </is>
      </c>
      <c r="B11" s="5" t="inlineStr">
        <is>
          <t>W33</t>
        </is>
      </c>
      <c r="C11" s="6" t="inlineStr">
        <is>
          <t>NV75T9979CD/WT</t>
        </is>
      </c>
      <c r="D11" s="6" t="inlineStr">
        <is>
          <t>Духовые шкафы</t>
        </is>
      </c>
      <c r="E11" s="7" t="inlineStr">
        <is>
          <t>Промо-запуск</t>
        </is>
      </c>
      <c r="F11" s="6" t="inlineStr">
        <is>
          <t>Performance Max</t>
        </is>
      </c>
      <c r="G11" s="4" t="inlineStr">
        <is>
          <t>samsung.kz</t>
        </is>
      </c>
      <c r="H11" s="5" t="inlineStr">
        <is>
          <t>CR-013</t>
        </is>
      </c>
      <c r="I11" s="6" t="inlineStr">
        <is>
          <t>Display</t>
        </is>
      </c>
      <c r="J11" s="30" t="n">
        <v>46251</v>
      </c>
      <c r="K11" s="30">
        <f>WORKDAY(J11-14+1,-1)</f>
        <v/>
      </c>
      <c r="L11" s="30">
        <f>WORKDAY(J11-7+1,-1)</f>
        <v/>
      </c>
      <c r="M11" s="30">
        <f>WORKDAY(J11-3+1,-1)</f>
        <v/>
      </c>
      <c r="N11" s="30" t="n">
        <v>46272</v>
      </c>
      <c r="O11" s="31" t="n">
        <v>700000</v>
      </c>
      <c r="P11" s="10" t="inlineStr">
        <is>
          <t>ROAS 2.5 · 12 покупок</t>
        </is>
      </c>
      <c r="Q11" s="6" t="inlineStr">
        <is>
          <t>AI Mktg Manager</t>
        </is>
      </c>
      <c r="R11" s="20" t="inlineStr">
        <is>
          <t>Не начато</t>
        </is>
      </c>
    </row>
    <row r="12">
      <c r="A12" s="12" t="inlineStr">
        <is>
          <t>C-08</t>
        </is>
      </c>
      <c r="B12" s="13" t="inlineStr">
        <is>
          <t>W33</t>
        </is>
      </c>
      <c r="C12" s="14" t="inlineStr">
        <is>
          <t>NV75T9979CD/WT</t>
        </is>
      </c>
      <c r="D12" s="14" t="inlineStr">
        <is>
          <t>Духовые шкафы</t>
        </is>
      </c>
      <c r="E12" s="7" t="inlineStr">
        <is>
          <t>Маркетплейс</t>
        </is>
      </c>
      <c r="F12" s="14" t="inlineStr">
        <is>
          <t>Ozon Ads</t>
        </is>
      </c>
      <c r="G12" s="12" t="inlineStr">
        <is>
          <t>Ozon</t>
        </is>
      </c>
      <c r="H12" s="13" t="inlineStr">
        <is>
          <t>CR-014</t>
        </is>
      </c>
      <c r="I12" s="14" t="inlineStr">
        <is>
          <t>Banner</t>
        </is>
      </c>
      <c r="J12" s="32" t="n">
        <v>46251</v>
      </c>
      <c r="K12" s="35">
        <f>WORKDAY(J12-10+1,-1)</f>
        <v/>
      </c>
      <c r="L12" s="35">
        <f>WORKDAY(J12-5+1,-1)</f>
        <v/>
      </c>
      <c r="M12" s="32">
        <f>WORKDAY(J12-3+1,-1)</f>
        <v/>
      </c>
      <c r="N12" s="32" t="n">
        <v>46272</v>
      </c>
      <c r="O12" s="33" t="n">
        <v>400000</v>
      </c>
      <c r="P12" s="17" t="inlineStr">
        <is>
          <t>CTR 1.0% · 20 заказов</t>
        </is>
      </c>
      <c r="Q12" s="14" t="inlineStr">
        <is>
          <t>AI Mktg Manager</t>
        </is>
      </c>
      <c r="R12" s="20" t="inlineStr">
        <is>
          <t>Не начато</t>
        </is>
      </c>
    </row>
    <row r="13">
      <c r="A13" s="4" t="inlineStr">
        <is>
          <t>C-09</t>
        </is>
      </c>
      <c r="B13" s="5" t="inlineStr">
        <is>
          <t>W33</t>
        </is>
      </c>
      <c r="C13" s="6" t="inlineStr">
        <is>
          <t>Bespoke line</t>
        </is>
      </c>
      <c r="D13" s="6" t="inlineStr">
        <is>
          <t>Bespoke</t>
        </is>
      </c>
      <c r="E13" s="19" t="inlineStr">
        <is>
          <t>Медийка</t>
        </is>
      </c>
      <c r="F13" s="6" t="inlineStr">
        <is>
          <t>Meta</t>
        </is>
      </c>
      <c r="G13" s="4" t="inlineStr">
        <is>
          <t>samsung.kz</t>
        </is>
      </c>
      <c r="H13" s="5" t="inlineStr">
        <is>
          <t>CR-015</t>
        </is>
      </c>
      <c r="I13" s="6" t="inlineStr">
        <is>
          <t>Stories/Reels</t>
        </is>
      </c>
      <c r="J13" s="30" t="n">
        <v>46251</v>
      </c>
      <c r="K13" s="34">
        <f>WORKDAY(J13-21+1,-1)</f>
        <v/>
      </c>
      <c r="L13" s="35">
        <f>WORKDAY(J13-10+1,-1)</f>
        <v/>
      </c>
      <c r="M13" s="35">
        <f>WORKDAY(J13-5+1,-1)</f>
        <v/>
      </c>
      <c r="N13" s="30" t="n">
        <v>46279</v>
      </c>
      <c r="O13" s="31" t="n">
        <v>950000</v>
      </c>
      <c r="P13" s="10" t="inlineStr">
        <is>
          <t>Охват 1.5М · CTR 0.9%</t>
        </is>
      </c>
      <c r="Q13" s="6" t="inlineStr">
        <is>
          <t>Head of Marketing</t>
        </is>
      </c>
      <c r="R13" s="20" t="inlineStr">
        <is>
          <t>Не начато</t>
        </is>
      </c>
    </row>
    <row r="14">
      <c r="A14" s="12" t="inlineStr">
        <is>
          <t>C-10</t>
        </is>
      </c>
      <c r="B14" s="13" t="inlineStr">
        <is>
          <t>W34</t>
        </is>
      </c>
      <c r="C14" s="14" t="inlineStr">
        <is>
          <t>WW65AK4S21CELT</t>
        </is>
      </c>
      <c r="D14" s="14" t="inlineStr">
        <is>
          <t>Стиралки</t>
        </is>
      </c>
      <c r="E14" s="7" t="inlineStr">
        <is>
          <t>Медийка</t>
        </is>
      </c>
      <c r="F14" s="14" t="inlineStr">
        <is>
          <t>YouTube</t>
        </is>
      </c>
      <c r="G14" s="12" t="inlineStr">
        <is>
          <t>samsung.kz</t>
        </is>
      </c>
      <c r="H14" s="13" t="inlineStr">
        <is>
          <t>CR-016</t>
        </is>
      </c>
      <c r="I14" s="14" t="inlineStr">
        <is>
          <t>Video 16:9</t>
        </is>
      </c>
      <c r="J14" s="32" t="n">
        <v>46258</v>
      </c>
      <c r="K14" s="35">
        <f>WORKDAY(J14-21+1,-1)</f>
        <v/>
      </c>
      <c r="L14" s="35">
        <f>WORKDAY(J14-10+1,-1)</f>
        <v/>
      </c>
      <c r="M14" s="35">
        <f>WORKDAY(J14-5+1,-1)</f>
        <v/>
      </c>
      <c r="N14" s="32" t="n">
        <v>46286</v>
      </c>
      <c r="O14" s="33" t="n">
        <v>1100000</v>
      </c>
      <c r="P14" s="17" t="inlineStr">
        <is>
          <t>Охват 1.8М · VTR 24%</t>
        </is>
      </c>
      <c r="Q14" s="14" t="inlineStr">
        <is>
          <t>AI Mktg Manager</t>
        </is>
      </c>
      <c r="R14" s="20" t="inlineStr">
        <is>
          <t>Не начато</t>
        </is>
      </c>
    </row>
    <row r="15">
      <c r="A15" s="4" t="inlineStr">
        <is>
          <t>C-11</t>
        </is>
      </c>
      <c r="B15" s="5" t="inlineStr">
        <is>
          <t>W34</t>
        </is>
      </c>
      <c r="C15" s="6" t="inlineStr">
        <is>
          <t>RB37A5411EL/WT</t>
        </is>
      </c>
      <c r="D15" s="6" t="inlineStr">
        <is>
          <t>Холодильники</t>
        </is>
      </c>
      <c r="E15" s="4" t="inlineStr">
        <is>
          <t>Retail support</t>
        </is>
      </c>
      <c r="F15" s="6" t="inlineStr">
        <is>
          <t>Display</t>
        </is>
      </c>
      <c r="G15" s="4" t="inlineStr">
        <is>
          <t>Mechta</t>
        </is>
      </c>
      <c r="H15" s="5" t="inlineStr">
        <is>
          <t>CR-017</t>
        </is>
      </c>
      <c r="I15" s="6" t="inlineStr">
        <is>
          <t>Display</t>
        </is>
      </c>
      <c r="J15" s="30" t="n">
        <v>46258</v>
      </c>
      <c r="K15" s="30">
        <f>WORKDAY(J15-14+1,-1)</f>
        <v/>
      </c>
      <c r="L15" s="30">
        <f>WORKDAY(J15-7+1,-1)</f>
        <v/>
      </c>
      <c r="M15" s="35">
        <f>WORKDAY(J15-4+1,-1)</f>
        <v/>
      </c>
      <c r="N15" s="30" t="n">
        <v>46272</v>
      </c>
      <c r="O15" s="31" t="n">
        <v>280000</v>
      </c>
      <c r="P15" s="10" t="inlineStr">
        <is>
          <t>Охват 500к · CTR 0.5%</t>
        </is>
      </c>
      <c r="Q15" s="6" t="inlineStr">
        <is>
          <t>AI Mktg Manager</t>
        </is>
      </c>
      <c r="R15" s="20" t="inlineStr">
        <is>
          <t>Не начато</t>
        </is>
      </c>
    </row>
    <row r="16">
      <c r="A16" s="12" t="inlineStr">
        <is>
          <t>C-12</t>
        </is>
      </c>
      <c r="B16" s="13" t="inlineStr">
        <is>
          <t>W34</t>
        </is>
      </c>
      <c r="C16" s="14" t="inlineStr">
        <is>
          <t>WW80AK6L28BBLT</t>
        </is>
      </c>
      <c r="D16" s="14" t="inlineStr">
        <is>
          <t>Стиралки</t>
        </is>
      </c>
      <c r="E16" s="7" t="inlineStr">
        <is>
          <t>Always-on</t>
        </is>
      </c>
      <c r="F16" s="14" t="inlineStr">
        <is>
          <t>TikTok In Feed</t>
        </is>
      </c>
      <c r="G16" s="12" t="inlineStr">
        <is>
          <t>samsung.kz</t>
        </is>
      </c>
      <c r="H16" s="13" t="inlineStr">
        <is>
          <t>CR-018</t>
        </is>
      </c>
      <c r="I16" s="14" t="inlineStr">
        <is>
          <t>Stories/Reels</t>
        </is>
      </c>
      <c r="J16" s="32" t="n">
        <v>46258</v>
      </c>
      <c r="K16" s="35">
        <f>WORKDAY(J16-10+1,-1)</f>
        <v/>
      </c>
      <c r="L16" s="35">
        <f>WORKDAY(J16-5+1,-1)</f>
        <v/>
      </c>
      <c r="M16" s="32">
        <f>WORKDAY(J16-2+1,-1)</f>
        <v/>
      </c>
      <c r="N16" s="32" t="n">
        <v>46286</v>
      </c>
      <c r="O16" s="33" t="n">
        <v>500000</v>
      </c>
      <c r="P16" s="17" t="inlineStr">
        <is>
          <t>Охват 1.2М · CTR 1.0%</t>
        </is>
      </c>
      <c r="Q16" s="14" t="inlineStr">
        <is>
          <t>AI Mktg Manager</t>
        </is>
      </c>
      <c r="R16" s="20" t="inlineStr">
        <is>
          <t>Не начато</t>
        </is>
      </c>
    </row>
    <row r="17">
      <c r="A17" s="4" t="inlineStr">
        <is>
          <t>C-13</t>
        </is>
      </c>
      <c r="B17" s="5" t="inlineStr">
        <is>
          <t>W31</t>
        </is>
      </c>
      <c r="C17" s="6" t="inlineStr">
        <is>
          <t>AR80F09CABWNER</t>
        </is>
      </c>
      <c r="D17" s="6" t="inlineStr">
        <is>
          <t>Кондиционеры</t>
        </is>
      </c>
      <c r="E17" s="7" t="inlineStr">
        <is>
          <t>Промо-запуск</t>
        </is>
      </c>
      <c r="F17" s="6" t="inlineStr">
        <is>
          <t>Performance Max</t>
        </is>
      </c>
      <c r="G17" s="4" t="inlineStr">
        <is>
          <t>samsung.kz</t>
        </is>
      </c>
      <c r="H17" s="5" t="inlineStr">
        <is>
          <t>CR-019</t>
        </is>
      </c>
      <c r="I17" s="6" t="inlineStr">
        <is>
          <t>Display</t>
        </is>
      </c>
      <c r="J17" s="30" t="n">
        <v>46237</v>
      </c>
      <c r="K17" s="34">
        <f>WORKDAY(J17-14+1,-1)</f>
        <v/>
      </c>
      <c r="L17" s="34">
        <f>WORKDAY(J17-7+1,-1)</f>
        <v/>
      </c>
      <c r="M17" s="34">
        <f>WORKDAY(J17-3+1,-1)</f>
        <v/>
      </c>
      <c r="N17" s="30" t="n">
        <v>46258</v>
      </c>
      <c r="O17" s="31" t="n">
        <v>650000</v>
      </c>
      <c r="P17" s="10" t="inlineStr">
        <is>
          <t>ROAS 2.8 · 18 покупок</t>
        </is>
      </c>
      <c r="Q17" s="6" t="inlineStr">
        <is>
          <t>AI Mktg Manager</t>
        </is>
      </c>
      <c r="R17" s="11" t="inlineStr">
        <is>
          <t>Не начато</t>
        </is>
      </c>
    </row>
    <row r="18">
      <c r="A18" s="4" t="inlineStr">
        <is>
          <t>C-14</t>
        </is>
      </c>
      <c r="B18" s="5" t="inlineStr">
        <is>
          <t>W31</t>
        </is>
      </c>
      <c r="C18" s="6" t="inlineStr">
        <is>
          <t>AR80F09CABWNER</t>
        </is>
      </c>
      <c r="D18" s="6" t="inlineStr">
        <is>
          <t>Кондиционеры</t>
        </is>
      </c>
      <c r="E18" s="7" t="inlineStr">
        <is>
          <t>Маркетплейс</t>
        </is>
      </c>
      <c r="F18" s="6" t="inlineStr">
        <is>
          <t>Kaspi Ads</t>
        </is>
      </c>
      <c r="G18" s="4" t="inlineStr">
        <is>
          <t>Kaspi.kz</t>
        </is>
      </c>
      <c r="H18" s="5" t="inlineStr">
        <is>
          <t>CR-020</t>
        </is>
      </c>
      <c r="I18" s="6" t="inlineStr">
        <is>
          <t>Banner</t>
        </is>
      </c>
      <c r="J18" s="30" t="n">
        <v>46237</v>
      </c>
      <c r="K18" s="34">
        <f>WORKDAY(J18-10+1,-1)</f>
        <v/>
      </c>
      <c r="L18" s="34">
        <f>WORKDAY(J18-5+1,-1)</f>
        <v/>
      </c>
      <c r="M18" s="34">
        <f>WORKDAY(J18-3+1,-1)</f>
        <v/>
      </c>
      <c r="N18" s="30" t="n">
        <v>46263</v>
      </c>
      <c r="O18" s="31" t="n">
        <v>380000</v>
      </c>
      <c r="P18" s="10" t="inlineStr">
        <is>
          <t>CTR 1.1% · 30 заказов</t>
        </is>
      </c>
      <c r="Q18" s="6" t="inlineStr">
        <is>
          <t>AI Mktg Manager</t>
        </is>
      </c>
      <c r="R18" s="11" t="inlineStr">
        <is>
          <t>Не начато</t>
        </is>
      </c>
    </row>
    <row r="19">
      <c r="A19" s="4" t="inlineStr">
        <is>
          <t>C-15</t>
        </is>
      </c>
      <c r="B19" s="5" t="inlineStr">
        <is>
          <t>W31</t>
        </is>
      </c>
      <c r="C19" s="6" t="inlineStr">
        <is>
          <t>RB53DG703EB1WT</t>
        </is>
      </c>
      <c r="D19" s="6" t="inlineStr">
        <is>
          <t>Холодильники</t>
        </is>
      </c>
      <c r="E19" s="7" t="inlineStr">
        <is>
          <t>Retail support</t>
        </is>
      </c>
      <c r="F19" s="6" t="inlineStr">
        <is>
          <t>Meta</t>
        </is>
      </c>
      <c r="G19" s="4" t="inlineStr">
        <is>
          <t>Evrika</t>
        </is>
      </c>
      <c r="H19" s="5" t="inlineStr">
        <is>
          <t>CR-021</t>
        </is>
      </c>
      <c r="I19" s="6" t="inlineStr">
        <is>
          <t>Feed Square</t>
        </is>
      </c>
      <c r="J19" s="30" t="n">
        <v>46237</v>
      </c>
      <c r="K19" s="34">
        <f>WORKDAY(J19-14+1,-1)</f>
        <v/>
      </c>
      <c r="L19" s="34">
        <f>WORKDAY(J19-7+1,-1)</f>
        <v/>
      </c>
      <c r="M19" s="34">
        <f>WORKDAY(J19-4+1,-1)</f>
        <v/>
      </c>
      <c r="N19" s="30" t="n">
        <v>46258</v>
      </c>
      <c r="O19" s="31" t="n">
        <v>260000</v>
      </c>
      <c r="P19" s="10" t="inlineStr">
        <is>
          <t>Охват 400к · CTR 0.7%</t>
        </is>
      </c>
      <c r="Q19" s="6" t="inlineStr">
        <is>
          <t>AI Mktg Manager</t>
        </is>
      </c>
      <c r="R19" s="11" t="inlineStr">
        <is>
          <t>Не начато</t>
        </is>
      </c>
    </row>
    <row r="20">
      <c r="A20" s="25" t="inlineStr">
        <is>
          <t>•  Дедлайны (Бриф/Креатив/Согласование) — формулы от даты старта: −14, −7, −3 дня. Меняешь старт — пересчёт автоматом.</t>
        </is>
      </c>
    </row>
    <row r="21">
      <c r="A21" s="25" t="inlineStr">
        <is>
          <t>•  Назначение — куда ведёт трафик: samsung.kz, маркетплейс или конкретный дистрибьютор.</t>
        </is>
      </c>
    </row>
    <row r="22">
      <c r="A22" s="36" t="inlineStr">
        <is>
          <t>Пересчитано агентом</t>
        </is>
      </c>
    </row>
    <row r="23">
      <c r="A23" s="25" t="inlineStr">
        <is>
          <t>Дедлайны считаются по правилам вкладки «2. Правила дедлайнов» для своего типа кампании. Формула WORKDAY(старт−N+1;−1) переносит дедлайн с выходного на предыдущий рабочий день. Меняете дату старта в колонке J — дедлайны пересчитываются автоматически.</t>
        </is>
      </c>
    </row>
    <row r="24">
      <c r="A24" s="25" t="inlineStr">
        <is>
          <t>Жёлтая заливка — дедлайн изменён относительно исходного файла.</t>
        </is>
      </c>
    </row>
    <row r="25">
      <c r="A25" t="inlineStr">
        <is>
          <t>Оранжевая заливка — дедлайн в прошлом при незакрытом статусе.</t>
        </is>
      </c>
    </row>
    <row r="26">
      <c r="A26" t="inlineStr">
        <is>
          <t>Дата расчёта: 01.08.2026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0" customWidth="1" min="5" max="5"/>
    <col width="42" customWidth="1" min="6" max="6"/>
  </cols>
  <sheetData>
    <row r="1">
      <c r="A1" s="1" t="inlineStr">
        <is>
          <t>Правила обратного отсчёта по типам кампаний</t>
        </is>
      </c>
    </row>
    <row r="2">
      <c r="A2" s="2" t="inlineStr">
        <is>
          <t>Агент использует эти правила, чтобы посчитать дедлайны от даты старта.</t>
        </is>
      </c>
    </row>
    <row r="4">
      <c r="A4" s="3" t="inlineStr">
        <is>
          <t>Тип кампании</t>
        </is>
      </c>
      <c r="B4" s="3" t="inlineStr">
        <is>
          <t>Бриф</t>
        </is>
      </c>
      <c r="C4" s="3" t="inlineStr">
        <is>
          <t>Креативы</t>
        </is>
      </c>
      <c r="D4" s="3" t="inlineStr">
        <is>
          <t>Согласование</t>
        </is>
      </c>
      <c r="E4" s="3" t="inlineStr">
        <is>
          <t>Загрузка/настройка</t>
        </is>
      </c>
      <c r="F4" s="3" t="inlineStr">
        <is>
          <t>Комментарий</t>
        </is>
      </c>
    </row>
    <row r="5">
      <c r="A5" s="4" t="inlineStr">
        <is>
          <t>Промо-запуск</t>
        </is>
      </c>
      <c r="B5" s="5" t="inlineStr">
        <is>
          <t>−14 дней</t>
        </is>
      </c>
      <c r="C5" s="5" t="inlineStr">
        <is>
          <t>−7 дней</t>
        </is>
      </c>
      <c r="D5" s="5" t="inlineStr">
        <is>
          <t>−3 дня</t>
        </is>
      </c>
      <c r="E5" s="5" t="inlineStr">
        <is>
          <t>−1 день</t>
        </is>
      </c>
      <c r="F5" s="10" t="inlineStr">
        <is>
          <t>Стандартный месячный промо-цикл</t>
        </is>
      </c>
    </row>
    <row r="6">
      <c r="A6" s="12" t="inlineStr">
        <is>
          <t>Always-on</t>
        </is>
      </c>
      <c r="B6" s="13" t="inlineStr">
        <is>
          <t>−10 дней</t>
        </is>
      </c>
      <c r="C6" s="13" t="inlineStr">
        <is>
          <t>−5 дней</t>
        </is>
      </c>
      <c r="D6" s="13" t="inlineStr">
        <is>
          <t>−2 дня</t>
        </is>
      </c>
      <c r="E6" s="13" t="inlineStr">
        <is>
          <t>−1 день</t>
        </is>
      </c>
      <c r="F6" s="17" t="inlineStr">
        <is>
          <t>Обновление действующих кампаний</t>
        </is>
      </c>
    </row>
    <row r="7">
      <c r="A7" s="4" t="inlineStr">
        <is>
          <t>Медийка</t>
        </is>
      </c>
      <c r="B7" s="5" t="inlineStr">
        <is>
          <t>−21 день</t>
        </is>
      </c>
      <c r="C7" s="5" t="inlineStr">
        <is>
          <t>−10 дней</t>
        </is>
      </c>
      <c r="D7" s="5" t="inlineStr">
        <is>
          <t>−5 дней</t>
        </is>
      </c>
      <c r="E7" s="5" t="inlineStr">
        <is>
          <t>−2 дня</t>
        </is>
      </c>
      <c r="F7" s="10" t="inlineStr">
        <is>
          <t>Видео дольше в продакшене</t>
        </is>
      </c>
    </row>
    <row r="8">
      <c r="A8" s="12" t="inlineStr">
        <is>
          <t>Retail support</t>
        </is>
      </c>
      <c r="B8" s="13" t="inlineStr">
        <is>
          <t>−14 дней</t>
        </is>
      </c>
      <c r="C8" s="13" t="inlineStr">
        <is>
          <t>−7 дней</t>
        </is>
      </c>
      <c r="D8" s="13" t="inlineStr">
        <is>
          <t>−4 дня</t>
        </is>
      </c>
      <c r="E8" s="13" t="inlineStr">
        <is>
          <t>−2 дня</t>
        </is>
      </c>
      <c r="F8" s="17" t="inlineStr">
        <is>
          <t>+1 день на согласование с дистрибьютором</t>
        </is>
      </c>
    </row>
    <row r="9">
      <c r="A9" s="4" t="inlineStr">
        <is>
          <t>Маркетплейс</t>
        </is>
      </c>
      <c r="B9" s="5" t="inlineStr">
        <is>
          <t>−10 дней</t>
        </is>
      </c>
      <c r="C9" s="5" t="inlineStr">
        <is>
          <t>−5 дней</t>
        </is>
      </c>
      <c r="D9" s="5" t="inlineStr">
        <is>
          <t>−3 дня</t>
        </is>
      </c>
      <c r="E9" s="5" t="inlineStr">
        <is>
          <t>−1 день</t>
        </is>
      </c>
      <c r="F9" s="10" t="inlineStr">
        <is>
          <t>Карточки готовятся параллельно с баннерами</t>
        </is>
      </c>
    </row>
    <row r="11">
      <c r="A11" s="24" t="inlineStr">
        <is>
          <t>Дополнительные правила:</t>
        </is>
      </c>
    </row>
    <row r="12">
      <c r="A12" s="25" t="inlineStr">
        <is>
          <t>•  Если дедлайн выпадает на выходной — сдвигаем на предыдущий рабочий день.</t>
        </is>
      </c>
    </row>
    <row r="13">
      <c r="A13" s="25" t="inlineStr">
        <is>
          <t>•  Дистрибьюторские кампании требуют доп. согласования — закладываем +1 день.</t>
        </is>
      </c>
    </row>
    <row r="14">
      <c r="A14" s="25" t="inlineStr">
        <is>
          <t>•  Если до старта меньше, чем требует тип кампании — это конфликт, агент обязан подсветить.</t>
        </is>
      </c>
    </row>
    <row r="15">
      <c r="A15" s="25" t="inlineStr">
        <is>
          <t>•  На одной неделе не больше 4 запусков — иначе перегруз креативной студии.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32" customWidth="1" min="4" max="4"/>
    <col width="20" customWidth="1" min="5" max="5"/>
  </cols>
  <sheetData>
    <row r="1">
      <c r="A1" s="1" t="inlineStr">
        <is>
          <t>Матрица: канал → назначение → формат</t>
        </is>
      </c>
    </row>
    <row r="2">
      <c r="A2" s="2" t="inlineStr">
        <is>
          <t>Определяет, какой креатив нужен под каждую связку канала и площадки назначения.</t>
        </is>
      </c>
    </row>
    <row r="4">
      <c r="A4" s="3" t="inlineStr">
        <is>
          <t>Канал</t>
        </is>
      </c>
      <c r="B4" s="3" t="inlineStr">
        <is>
          <t>Тип</t>
        </is>
      </c>
      <c r="C4" s="3" t="inlineStr">
        <is>
          <t>Возможные назначения</t>
        </is>
      </c>
      <c r="D4" s="3" t="inlineStr">
        <is>
          <t>Нужные форматы</t>
        </is>
      </c>
      <c r="E4" s="3" t="inlineStr">
        <is>
          <t>Кто ведёт</t>
        </is>
      </c>
    </row>
    <row r="5">
      <c r="A5" s="4" t="inlineStr">
        <is>
          <t>Google Search</t>
        </is>
      </c>
      <c r="B5" s="26" t="inlineStr">
        <is>
          <t>Performance</t>
        </is>
      </c>
      <c r="C5" s="10" t="inlineStr">
        <is>
          <t>samsung.kz</t>
        </is>
      </c>
      <c r="D5" s="10" t="inlineStr">
        <is>
          <t>Search RSA (тексты)</t>
        </is>
      </c>
      <c r="E5" s="6" t="inlineStr">
        <is>
          <t>AI Mktg Manager</t>
        </is>
      </c>
    </row>
    <row r="6">
      <c r="A6" s="12" t="inlineStr">
        <is>
          <t>Performance Max</t>
        </is>
      </c>
      <c r="B6" s="26" t="inlineStr">
        <is>
          <t>Performance</t>
        </is>
      </c>
      <c r="C6" s="17" t="inlineStr">
        <is>
          <t>samsung.kz</t>
        </is>
      </c>
      <c r="D6" s="17" t="inlineStr">
        <is>
          <t>Display 1200×628 · Square 1080×1080 · Video</t>
        </is>
      </c>
      <c r="E6" s="14" t="inlineStr">
        <is>
          <t>AI Mktg Manager</t>
        </is>
      </c>
    </row>
    <row r="7">
      <c r="A7" s="4" t="inlineStr">
        <is>
          <t>Meta</t>
        </is>
      </c>
      <c r="B7" s="26" t="inlineStr">
        <is>
          <t>Performance / Медийка</t>
        </is>
      </c>
      <c r="C7" s="10" t="inlineStr">
        <is>
          <t>samsung.kz · Technodom · Sulpak · Mechta · Evrika</t>
        </is>
      </c>
      <c r="D7" s="10" t="inlineStr">
        <is>
          <t>Feed Square · Feed Portrait · Stories</t>
        </is>
      </c>
      <c r="E7" s="6" t="inlineStr">
        <is>
          <t>AI Mktg Manager</t>
        </is>
      </c>
    </row>
    <row r="8">
      <c r="A8" s="12" t="inlineStr">
        <is>
          <t>TikTok In Feed</t>
        </is>
      </c>
      <c r="B8" s="27" t="inlineStr">
        <is>
          <t>Медийка</t>
        </is>
      </c>
      <c r="C8" s="17" t="inlineStr">
        <is>
          <t>samsung.kz</t>
        </is>
      </c>
      <c r="D8" s="17" t="inlineStr">
        <is>
          <t>Stories/Reels 1080×1920</t>
        </is>
      </c>
      <c r="E8" s="14" t="inlineStr">
        <is>
          <t>AI Mktg Manager</t>
        </is>
      </c>
    </row>
    <row r="9">
      <c r="A9" s="4" t="inlineStr">
        <is>
          <t>YouTube</t>
        </is>
      </c>
      <c r="B9" s="27" t="inlineStr">
        <is>
          <t>Медийка</t>
        </is>
      </c>
      <c r="C9" s="10" t="inlineStr">
        <is>
          <t>samsung.kz</t>
        </is>
      </c>
      <c r="D9" s="10" t="inlineStr">
        <is>
          <t>Video 1920×1080 · Bumper 6 сек</t>
        </is>
      </c>
      <c r="E9" s="6" t="inlineStr">
        <is>
          <t>AI Mktg Manager</t>
        </is>
      </c>
    </row>
    <row r="10">
      <c r="A10" s="12" t="inlineStr">
        <is>
          <t>Display / GDN</t>
        </is>
      </c>
      <c r="B10" s="27" t="inlineStr">
        <is>
          <t>Медийка</t>
        </is>
      </c>
      <c r="C10" s="17" t="inlineStr">
        <is>
          <t>samsung.kz · дистрибьюторы</t>
        </is>
      </c>
      <c r="D10" s="17" t="inlineStr">
        <is>
          <t>Display 1200×628 · набор баннеров</t>
        </is>
      </c>
      <c r="E10" s="14" t="inlineStr">
        <is>
          <t>AI Mktg Manager</t>
        </is>
      </c>
    </row>
    <row r="11">
      <c r="A11" s="4" t="inlineStr">
        <is>
          <t>Kaspi Ads</t>
        </is>
      </c>
      <c r="B11" s="26" t="inlineStr">
        <is>
          <t>Маркетплейс</t>
        </is>
      </c>
      <c r="C11" s="10" t="inlineStr">
        <is>
          <t>Kaspi.kz</t>
        </is>
      </c>
      <c r="D11" s="10" t="inlineStr">
        <is>
          <t>Banner + карточка товара</t>
        </is>
      </c>
      <c r="E11" s="6" t="inlineStr">
        <is>
          <t>AI Mktg Manager</t>
        </is>
      </c>
    </row>
    <row r="12">
      <c r="A12" s="12" t="inlineStr">
        <is>
          <t>Ozon Ads</t>
        </is>
      </c>
      <c r="B12" s="26" t="inlineStr">
        <is>
          <t>Маркетплейс</t>
        </is>
      </c>
      <c r="C12" s="17" t="inlineStr">
        <is>
          <t>Ozon</t>
        </is>
      </c>
      <c r="D12" s="17" t="inlineStr">
        <is>
          <t>Banner + карточка товара</t>
        </is>
      </c>
      <c r="E12" s="14" t="inlineStr">
        <is>
          <t>AI Mktg Manager</t>
        </is>
      </c>
    </row>
    <row r="14">
      <c r="A14" s="24" t="inlineStr">
        <is>
          <t>Правило:</t>
        </is>
      </c>
    </row>
    <row r="15">
      <c r="A15" s="25" t="inlineStr">
        <is>
          <t>•  Одна модель в одном месяце должна закрывать минимум: 1 перформанс-канал + 1 точку продаж (маркетплейс или дистрибьютор).</t>
        </is>
      </c>
    </row>
    <row r="16">
      <c r="A16" s="25" t="inlineStr">
        <is>
          <t>•  Медийка запускается только при поддержке хотя бы одного перформанс-канала — иначе охват не конвертируется.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</cols>
  <sheetData>
    <row r="1">
      <c r="A1" s="1" t="inlineStr">
        <is>
          <t>Что трекает Digital-менеджер еженедельно</t>
        </is>
      </c>
    </row>
    <row r="2">
      <c r="A2" s="2" t="inlineStr">
        <is>
          <t>Этот срез агент должен собирать автоматически из мастер-плана.</t>
        </is>
      </c>
    </row>
    <row r="4">
      <c r="A4" s="3" t="inlineStr">
        <is>
          <t>Что отслеживаем</t>
        </is>
      </c>
      <c r="B4" s="3" t="inlineStr">
        <is>
          <t>Как считается</t>
        </is>
      </c>
      <c r="C4" s="3" t="inlineStr">
        <is>
          <t>Сигнал тревоги</t>
        </is>
      </c>
    </row>
    <row r="5">
      <c r="A5" s="28" t="inlineStr">
        <is>
          <t>Просроченные дедлайны</t>
        </is>
      </c>
      <c r="B5" s="10" t="inlineStr">
        <is>
          <t>Дедлайн &lt; сегодня И статус ≠ Готово</t>
        </is>
      </c>
      <c r="C5" s="10" t="inlineStr">
        <is>
          <t>Любой — эскалация сразу</t>
        </is>
      </c>
    </row>
    <row r="6">
      <c r="A6" s="29" t="inlineStr">
        <is>
          <t>Дедлайны на этой неделе</t>
        </is>
      </c>
      <c r="B6" s="17" t="inlineStr">
        <is>
          <t>Дедлайн в пределах 7 дней</t>
        </is>
      </c>
      <c r="C6" s="17" t="inlineStr">
        <is>
          <t>Больше 6 — риск не успеть</t>
        </is>
      </c>
    </row>
    <row r="7">
      <c r="A7" s="28" t="inlineStr">
        <is>
          <t>Кампании без креатива</t>
        </is>
      </c>
      <c r="B7" s="10" t="inlineStr">
        <is>
          <t>Статус ≠ Готово при старте &lt; 7 дней</t>
        </is>
      </c>
      <c r="C7" s="10" t="inlineStr">
        <is>
          <t>Любая — блокирует запуск</t>
        </is>
      </c>
    </row>
    <row r="8">
      <c r="A8" s="29" t="inlineStr">
        <is>
          <t>Загрузка по неделям</t>
        </is>
      </c>
      <c r="B8" s="17" t="inlineStr">
        <is>
          <t>Кол-во запусков на неделю</t>
        </is>
      </c>
      <c r="C8" s="17" t="inlineStr">
        <is>
          <t>Больше 4 — перегруз студии</t>
        </is>
      </c>
    </row>
    <row r="9">
      <c r="A9" s="28" t="inlineStr">
        <is>
          <t>Покрытие моделей</t>
        </is>
      </c>
      <c r="B9" s="10" t="inlineStr">
        <is>
          <t>Модель без активной кампании в месяце</t>
        </is>
      </c>
      <c r="C9" s="10" t="inlineStr">
        <is>
          <t>Приоритетная модель без плана</t>
        </is>
      </c>
    </row>
    <row r="10">
      <c r="A10" s="29" t="inlineStr">
        <is>
          <t>Баланс перформанс/медийка</t>
        </is>
      </c>
      <c r="B10" s="17" t="inlineStr">
        <is>
          <t>Доля бюджета по типам</t>
        </is>
      </c>
      <c r="C10" s="17" t="inlineStr">
        <is>
          <t>Медийка &gt; 40% без перформанс-поддержки</t>
        </is>
      </c>
    </row>
    <row r="11">
      <c r="A11" s="28" t="inlineStr">
        <is>
          <t>Покрытие назначений</t>
        </is>
      </c>
      <c r="B11" s="10" t="inlineStr">
        <is>
          <t>Есть ли трафик на дистрибьюторов</t>
        </is>
      </c>
      <c r="C11" s="10" t="inlineStr">
        <is>
          <t>Дистрибьютор без поддержки месяц+</t>
        </is>
      </c>
    </row>
    <row r="13">
      <c r="A13" s="24" t="inlineStr">
        <is>
          <t>Еженедельный дайджест для менеджера должен отвечать на 3 вопроса:</t>
        </is>
      </c>
    </row>
    <row r="14">
      <c r="A14" s="25" t="inlineStr">
        <is>
          <t>•  Что горит прямо сейчас (просрочки и риски срыва запуска).</t>
        </is>
      </c>
    </row>
    <row r="15">
      <c r="A15" s="25" t="inlineStr">
        <is>
          <t>•  Что нужно сделать на этой неделе (список задач с дедлайнами).</t>
        </is>
      </c>
    </row>
    <row r="16">
      <c r="A16" s="25" t="inlineStr">
        <is>
          <t>•  Где дыры в плане (модели, каналы или дистрибьюторы без покрытия).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2026-07-24T08:49:32Z</dcterms:created>
  <dcterms:modified xsi:type="dcterms:W3CDTF">2026-07-27T16:46:46Z</dcterms:modified>
</cp:coreProperties>
</file>